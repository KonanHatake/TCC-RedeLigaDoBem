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-105" yWindow="-105" windowWidth="19425" windowHeight="10425" activeTab="2"/>
  </bookViews>
  <sheets>
    <sheet name="capa" sheetId="3" r:id="rId1"/>
    <sheet name="projeto" sheetId="8" r:id="rId2"/>
    <sheet name="calendário" sheetId="17" r:id="rId3"/>
    <sheet name="social" sheetId="9" r:id="rId4"/>
    <sheet name="PLANILHA GERAL" sheetId="12" r:id="rId5"/>
    <sheet name="TABELA-PROJETOS" sheetId="16" r:id="rId6"/>
    <sheet name="TABELA-CALENDÁRIO" sheetId="11" r:id="rId7"/>
    <sheet name="TABELA-SOCIAL" sheetId="14" r:id="rId8"/>
  </sheets>
  <definedNames>
    <definedName name="DadosExternos_1" localSheetId="2" hidden="1">calendário!$S$15:$T$16</definedName>
    <definedName name="Dia">#REF!</definedName>
    <definedName name="Dias">Tabela2[[#All],[Dia]]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7" l="1"/>
  <c r="Q15" i="17" s="1"/>
  <c r="H14" i="17" l="1"/>
  <c r="I14" i="17" s="1"/>
  <c r="J14" i="17" s="1"/>
  <c r="K14" i="17" s="1"/>
  <c r="L14" i="17" s="1"/>
  <c r="M14" i="17" s="1"/>
  <c r="N14" i="17" s="1"/>
  <c r="H15" i="17" s="1"/>
  <c r="I15" i="17" s="1"/>
  <c r="J15" i="17" s="1"/>
  <c r="K15" i="17" s="1"/>
  <c r="L15" i="17" s="1"/>
  <c r="M15" i="17" l="1"/>
  <c r="N15" i="17" s="1"/>
  <c r="H16" i="17" s="1"/>
  <c r="I16" i="17" s="1"/>
  <c r="J16" i="17" s="1"/>
  <c r="K16" i="17" s="1"/>
  <c r="L16" i="17" s="1"/>
  <c r="M16" i="17" s="1"/>
  <c r="N16" i="17" s="1"/>
  <c r="H17" i="17" s="1"/>
  <c r="I17" i="17" s="1"/>
  <c r="J17" i="17" s="1"/>
  <c r="K17" i="17" s="1"/>
  <c r="L17" i="17" s="1"/>
  <c r="M17" i="17" s="1"/>
  <c r="N17" i="17" s="1"/>
  <c r="H18" i="17" s="1"/>
  <c r="I18" i="17" s="1"/>
  <c r="J18" i="17" s="1"/>
  <c r="K18" i="17" s="1"/>
  <c r="L18" i="17" s="1"/>
  <c r="M18" i="17" s="1"/>
  <c r="N18" i="17" s="1"/>
  <c r="H19" i="17" s="1"/>
  <c r="I19" i="17" s="1"/>
  <c r="J19" i="17" s="1"/>
  <c r="K19" i="17" s="1"/>
  <c r="L19" i="17" s="1"/>
  <c r="M19" i="17" s="1"/>
  <c r="N19" i="17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feito" description="Conexão com a consulta 'feito' na pasta de trabalho." type="5" refreshedVersion="6" background="1" saveData="1">
    <dbPr connection="Provider=Microsoft.Mashup.OleDb.1;Data Source=$Workbook$;Location=feito;Extended Properties=&quot;&quot;" command="SELECT * FROM [feito]"/>
  </connection>
</connections>
</file>

<file path=xl/sharedStrings.xml><?xml version="1.0" encoding="utf-8"?>
<sst xmlns="http://schemas.openxmlformats.org/spreadsheetml/2006/main" count="105" uniqueCount="61">
  <si>
    <t>D</t>
  </si>
  <si>
    <t>S</t>
  </si>
  <si>
    <t>T</t>
  </si>
  <si>
    <t>Q</t>
  </si>
  <si>
    <t>MÊS</t>
  </si>
  <si>
    <t>Data</t>
  </si>
  <si>
    <t xml:space="preserve">Horario </t>
  </si>
  <si>
    <t>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</si>
  <si>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</si>
  <si>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</si>
  <si>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</si>
  <si>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</si>
  <si>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</si>
  <si>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</si>
  <si>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</si>
  <si>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</si>
  <si>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</si>
  <si>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</si>
  <si>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</si>
  <si>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</si>
  <si>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</si>
  <si>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</si>
  <si>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</si>
  <si>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</si>
  <si>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</si>
  <si>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</si>
  <si>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</si>
  <si>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</si>
  <si>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</si>
  <si>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</si>
  <si>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</si>
  <si>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</si>
  <si>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</si>
  <si>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</si>
  <si>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</si>
  <si>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</si>
  <si>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</si>
  <si>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</si>
  <si>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</si>
  <si>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</si>
  <si>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</si>
  <si>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</si>
  <si>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</si>
  <si>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</si>
  <si>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</si>
  <si>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</si>
  <si>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</si>
  <si>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</si>
  <si>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</si>
  <si>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</si>
  <si>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</si>
  <si>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</si>
  <si>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</si>
  <si>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</si>
  <si>
    <t>Ano</t>
  </si>
  <si>
    <t>Mês</t>
  </si>
  <si>
    <t>Início</t>
  </si>
  <si>
    <t>Fim mês</t>
  </si>
  <si>
    <t>Dia</t>
  </si>
  <si>
    <t>Agenda.Anotação</t>
  </si>
  <si>
    <t>GBSAHDAO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</si>
</sst>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5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14" fontId="0" fillId="5" borderId="0" xfId="0" applyNumberFormat="1" applyFill="1"/>
    <xf numFmtId="0" fontId="0" fillId="5" borderId="0" xfId="0" applyFill="1"/>
    <xf numFmtId="0" fontId="0" fillId="4" borderId="0" xfId="0" applyFill="1"/>
  </cellXfs>
  <cellStyles count="1">
    <cellStyle name="Normal" xfId="0" builtinId="0"/>
  </cellStyles>
  <dxfs count="8">
    <dxf>
      <numFmt numFmtId="0" formatCode="General"/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theme="0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7"/>
    </tableStyle>
  </tableStyles>
  <colors>
    <mruColors>
      <color rgb="FFF2BC1B"/>
      <color rgb="FF0396A6"/>
      <color rgb="FFFA7F34"/>
      <color rgb="FFFB9C61"/>
      <color rgb="FFD15305"/>
      <color rgb="FFFDCBAD"/>
      <color rgb="FFFA7422"/>
      <color rgb="FFFCB88E"/>
      <color rgb="FFFCA874"/>
      <color rgb="FFFA7726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[REDELIGADOBEM-DASHBOARD1.xlsm]TABELA-PROJETOS!Tabela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6-495B-8B97-87F40663D7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6-495B-8B97-87F40663D78C}"/>
              </c:ext>
            </c:extLst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[REDELIGADOBEM-DASHBOARD1.xlsm]TABELA-SOCIAL!Tabela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9" max="2030" min="2020" page="10" val="2023"/>
</file>

<file path=xl/ctrlProps/ctrlProp2.xml><?xml version="1.0" encoding="utf-8"?>
<formControlPr xmlns="http://schemas.microsoft.com/office/spreadsheetml/2009/9/main" objectType="Spin" dx="22" fmlaLink="$C$19" max="12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endario!A1"/><Relationship Id="rId7" Type="http://schemas.openxmlformats.org/officeDocument/2006/relationships/image" Target="../media/image4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social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6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5.png"/><Relationship Id="rId6" Type="http://schemas.openxmlformats.org/officeDocument/2006/relationships/chart" Target="../charts/chart1.xml"/><Relationship Id="rId5" Type="http://schemas.openxmlformats.org/officeDocument/2006/relationships/hyperlink" Target="#social!A1"/><Relationship Id="rId4" Type="http://schemas.openxmlformats.org/officeDocument/2006/relationships/hyperlink" Target="#calend&#225;rio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lend&#225;rio!A1"/><Relationship Id="rId2" Type="http://schemas.openxmlformats.org/officeDocument/2006/relationships/hyperlink" Target="#projeto!A1"/><Relationship Id="rId1" Type="http://schemas.openxmlformats.org/officeDocument/2006/relationships/image" Target="../media/image5.png"/><Relationship Id="rId4" Type="http://schemas.openxmlformats.org/officeDocument/2006/relationships/hyperlink" Target="#social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13.png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12" Type="http://schemas.openxmlformats.org/officeDocument/2006/relationships/image" Target="../media/image12.png"/><Relationship Id="rId2" Type="http://schemas.openxmlformats.org/officeDocument/2006/relationships/hyperlink" Target="#capa!A1"/><Relationship Id="rId1" Type="http://schemas.openxmlformats.org/officeDocument/2006/relationships/image" Target="../media/image10.png"/><Relationship Id="rId6" Type="http://schemas.openxmlformats.org/officeDocument/2006/relationships/chart" Target="../charts/chart3.xml"/><Relationship Id="rId11" Type="http://schemas.openxmlformats.org/officeDocument/2006/relationships/image" Target="../media/image11.png"/><Relationship Id="rId5" Type="http://schemas.openxmlformats.org/officeDocument/2006/relationships/hyperlink" Target="#calend&#225;rio!A1"/><Relationship Id="rId15" Type="http://schemas.openxmlformats.org/officeDocument/2006/relationships/image" Target="../media/image15.png"/><Relationship Id="rId10" Type="http://schemas.openxmlformats.org/officeDocument/2006/relationships/chart" Target="../charts/chart7.xml"/><Relationship Id="rId4" Type="http://schemas.openxmlformats.org/officeDocument/2006/relationships/hyperlink" Target="#projeto!A1"/><Relationship Id="rId9" Type="http://schemas.openxmlformats.org/officeDocument/2006/relationships/chart" Target="../charts/chart6.xml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210946</xdr:colOff>
      <xdr:row>18</xdr:row>
      <xdr:rowOff>125819</xdr:rowOff>
    </xdr:from>
    <xdr:to>
      <xdr:col>24</xdr:col>
      <xdr:colOff>264663</xdr:colOff>
      <xdr:row>47</xdr:row>
      <xdr:rowOff>137433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6878446" y="3502864"/>
          <a:ext cx="7933490" cy="54524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Projetos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Imprint MT Shadow" panose="04020605060303030202" pitchFamily="82" charset="0"/>
            </a:rPr>
            <a:t>REDE</a:t>
          </a:r>
          <a:r>
            <a:rPr lang="en-US" sz="5400" baseline="0">
              <a:latin typeface="Imprint MT Shadow" panose="04020605060303030202" pitchFamily="82" charset="0"/>
            </a:rPr>
            <a:t> LIGA DO BEM</a:t>
          </a:r>
          <a:endParaRPr lang="en-US" sz="5400">
            <a:latin typeface="Imprint MT Shadow" panose="04020605060303030202" pitchFamily="82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ULAS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Alunos</a:t>
          </a:r>
          <a:r>
            <a:rPr lang="pt-BR" sz="1100" b="1" baseline="0">
              <a:solidFill>
                <a:schemeClr val="tx1"/>
              </a:solidFill>
            </a:rPr>
            <a:t> por atividade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Taxa</a:t>
          </a:r>
          <a:r>
            <a:rPr lang="pt-BR" sz="11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178594</xdr:rowOff>
    </xdr:from>
    <xdr:to>
      <xdr:col>5</xdr:col>
      <xdr:colOff>297657</xdr:colOff>
      <xdr:row>5</xdr:row>
      <xdr:rowOff>14883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06328" y="178594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316111</xdr:colOff>
      <xdr:row>30</xdr:row>
      <xdr:rowOff>167283</xdr:rowOff>
    </xdr:from>
    <xdr:to>
      <xdr:col>25</xdr:col>
      <xdr:colOff>3572</xdr:colOff>
      <xdr:row>35</xdr:row>
      <xdr:rowOff>3572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916150" y="5971580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317855</xdr:colOff>
      <xdr:row>1</xdr:row>
      <xdr:rowOff>5577</xdr:rowOff>
    </xdr:from>
    <xdr:to>
      <xdr:col>25</xdr:col>
      <xdr:colOff>5316</xdr:colOff>
      <xdr:row>5</xdr:row>
      <xdr:rowOff>35343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9039" y="189393"/>
          <a:ext cx="890619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6276</xdr:colOff>
      <xdr:row>30</xdr:row>
      <xdr:rowOff>144661</xdr:rowOff>
    </xdr:from>
    <xdr:to>
      <xdr:col>5</xdr:col>
      <xdr:colOff>295317</xdr:colOff>
      <xdr:row>34</xdr:row>
      <xdr:rowOff>174427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97460" y="5659135"/>
          <a:ext cx="890620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629693</xdr:colOff>
      <xdr:row>8</xdr:row>
      <xdr:rowOff>102550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816"/>
          <a:ext cx="2233904" cy="1389260"/>
        </a:xfrm>
        <a:prstGeom prst="rect">
          <a:avLst/>
        </a:prstGeom>
      </xdr:spPr>
    </xdr:pic>
    <xdr:clientData/>
  </xdr:twoCellAnchor>
  <xdr:twoCellAnchor>
    <xdr:from>
      <xdr:col>1</xdr:col>
      <xdr:colOff>50132</xdr:colOff>
      <xdr:row>13</xdr:row>
      <xdr:rowOff>116973</xdr:rowOff>
    </xdr:from>
    <xdr:to>
      <xdr:col>3</xdr:col>
      <xdr:colOff>89647</xdr:colOff>
      <xdr:row>14</xdr:row>
      <xdr:rowOff>72345</xdr:rowOff>
    </xdr:to>
    <xdr:sp macro="" textlink="">
      <xdr:nvSpPr>
        <xdr:cNvPr id="9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6956" y="2884826"/>
          <a:ext cx="1653162" cy="43722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55910</xdr:colOff>
      <xdr:row>14</xdr:row>
      <xdr:rowOff>68847</xdr:rowOff>
    </xdr:from>
    <xdr:to>
      <xdr:col>3</xdr:col>
      <xdr:colOff>116973</xdr:colOff>
      <xdr:row>15</xdr:row>
      <xdr:rowOff>24219</xdr:rowOff>
    </xdr:to>
    <xdr:sp macro="" textlink="">
      <xdr:nvSpPr>
        <xdr:cNvPr id="10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58015" y="3243847"/>
          <a:ext cx="1665274" cy="439977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CALENDÁRIO</a:t>
          </a:r>
        </a:p>
      </xdr:txBody>
    </xdr:sp>
    <xdr:clientData/>
  </xdr:twoCellAnchor>
  <xdr:twoCellAnchor>
    <xdr:from>
      <xdr:col>1</xdr:col>
      <xdr:colOff>37432</xdr:colOff>
      <xdr:row>15</xdr:row>
      <xdr:rowOff>20720</xdr:rowOff>
    </xdr:from>
    <xdr:to>
      <xdr:col>3</xdr:col>
      <xdr:colOff>89647</xdr:colOff>
      <xdr:row>15</xdr:row>
      <xdr:rowOff>460697</xdr:rowOff>
    </xdr:to>
    <xdr:sp macro="" textlink="">
      <xdr:nvSpPr>
        <xdr:cNvPr id="11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44256" y="3752279"/>
          <a:ext cx="1665862" cy="439977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SOCIAL</a:t>
          </a:r>
        </a:p>
      </xdr:txBody>
    </xdr:sp>
    <xdr:clientData/>
  </xdr:twoCellAnchor>
  <xdr:twoCellAnchor>
    <xdr:from>
      <xdr:col>1</xdr:col>
      <xdr:colOff>78074</xdr:colOff>
      <xdr:row>15</xdr:row>
      <xdr:rowOff>452828</xdr:rowOff>
    </xdr:from>
    <xdr:to>
      <xdr:col>3</xdr:col>
      <xdr:colOff>11309</xdr:colOff>
      <xdr:row>15</xdr:row>
      <xdr:rowOff>452828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880179" y="4112433"/>
          <a:ext cx="1537446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0</xdr:rowOff>
        </xdr:from>
        <xdr:to>
          <xdr:col>1</xdr:col>
          <xdr:colOff>790575</xdr:colOff>
          <xdr:row>19</xdr:row>
          <xdr:rowOff>19050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3</xdr:col>
          <xdr:colOff>790575</xdr:colOff>
          <xdr:row>19</xdr:row>
          <xdr:rowOff>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538441</xdr:colOff>
          <xdr:row>19</xdr:row>
          <xdr:rowOff>130548</xdr:rowOff>
        </xdr:from>
        <xdr:to>
          <xdr:col>13</xdr:col>
          <xdr:colOff>818029</xdr:colOff>
          <xdr:row>21</xdr:row>
          <xdr:rowOff>190499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544286</xdr:colOff>
      <xdr:row>3</xdr:row>
      <xdr:rowOff>122464</xdr:rowOff>
    </xdr:from>
    <xdr:to>
      <xdr:col>20</xdr:col>
      <xdr:colOff>374023</xdr:colOff>
      <xdr:row>9</xdr:row>
      <xdr:rowOff>101882</xdr:rowOff>
    </xdr:to>
    <xdr:sp macro="" textlink="">
      <xdr:nvSpPr>
        <xdr:cNvPr id="17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28607" y="693964"/>
          <a:ext cx="8946523" cy="1122418"/>
        </a:xfrm>
        <a:prstGeom prst="roundRect">
          <a:avLst>
            <a:gd name="adj" fmla="val 7800"/>
          </a:avLst>
        </a:prstGeom>
        <a:solidFill>
          <a:srgbClr val="F2BC1B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Imprint MT Shadow" panose="04020605060303030202" pitchFamily="82" charset="0"/>
            </a:rPr>
            <a:t>REDE</a:t>
          </a:r>
          <a:r>
            <a:rPr lang="en-US" sz="5400" baseline="0">
              <a:latin typeface="Imprint MT Shadow" panose="04020605060303030202" pitchFamily="82" charset="0"/>
            </a:rPr>
            <a:t> LIGA DO BEM</a:t>
          </a:r>
          <a:endParaRPr lang="en-US" sz="5400">
            <a:latin typeface="Imprint MT Shadow" panose="040206050603030302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REDE</a:t>
          </a:r>
          <a:r>
            <a:rPr lang="en-US" sz="1100" baseline="0"/>
            <a:t> 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LIGA</a:t>
          </a:r>
          <a:r>
            <a:rPr lang="en-US" sz="1100" baseline="0"/>
            <a:t>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DO</a:t>
          </a:r>
          <a:r>
            <a:rPr lang="en-US" sz="1100" baseline="0"/>
            <a:t>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Seguidores</a:t>
          </a:r>
        </a:p>
      </xdr:txBody>
    </xdr:sp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ia" tableColumnId="1"/>
      <queryTableField id="2" name="Agenda.Anotação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2" displayName="Tabela2" ref="Q17:Q18" totalsRowShown="0" headerRowDxfId="2" dataDxfId="6">
  <autoFilter ref="Q17:Q18"/>
  <tableColumns count="1">
    <tableColumn id="1" name="Dia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feito" displayName="feito" ref="S15:T16" tableType="queryTable" totalsRowShown="0" headerRowDxfId="3" dataDxfId="4">
  <autoFilter ref="S15:T16"/>
  <tableColumns count="2">
    <tableColumn id="1" uniqueName="1" name="Dia" queryTableFieldId="1" dataDxfId="1"/>
    <tableColumn id="2" uniqueName="2" name="Agenda.Anotação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6" totalsRowShown="0">
  <autoFilter ref="B2:D26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B59"/>
  <sheetViews>
    <sheetView showGridLines="0" showRowColHeaders="0" zoomScale="66" zoomScaleNormal="131" workbookViewId="0"/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B36"/>
  <sheetViews>
    <sheetView zoomScaleNormal="100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AA36"/>
  <sheetViews>
    <sheetView tabSelected="1" zoomScale="85" zoomScaleNormal="85" workbookViewId="0"/>
  </sheetViews>
  <sheetFormatPr defaultColWidth="0" defaultRowHeight="15" zeroHeight="1" x14ac:dyDescent="0.25"/>
  <cols>
    <col min="1" max="4" width="12.140625" style="1" customWidth="1"/>
    <col min="5" max="6" width="9.140625" style="1" customWidth="1"/>
    <col min="7" max="7" width="10.42578125" style="1" bestFit="1" customWidth="1"/>
    <col min="8" max="14" width="12.5703125" style="1" customWidth="1"/>
    <col min="15" max="15" width="9.140625" style="1" customWidth="1"/>
    <col min="16" max="16" width="11.28515625" style="1" hidden="1" customWidth="1"/>
    <col min="17" max="17" width="13.5703125" style="1" hidden="1" customWidth="1"/>
    <col min="18" max="18" width="9.140625" style="1" customWidth="1"/>
    <col min="19" max="19" width="13.28515625" style="1" customWidth="1"/>
    <col min="20" max="20" width="19" style="1" customWidth="1"/>
    <col min="21" max="27" width="9.140625" style="1" customWidth="1"/>
    <col min="28" max="16384" width="9.140625" style="1" hidden="1"/>
  </cols>
  <sheetData>
    <row r="1" spans="5:25" x14ac:dyDescent="0.25"/>
    <row r="2" spans="5:25" x14ac:dyDescent="0.2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5:25" x14ac:dyDescent="0.25"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5:25" x14ac:dyDescent="0.25"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5:25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5:25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5:25" x14ac:dyDescent="0.25"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5:25" x14ac:dyDescent="0.25"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5:25" x14ac:dyDescent="0.25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5:25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5:25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5:25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5:25" ht="37.5" customHeight="1" x14ac:dyDescent="0.25">
      <c r="E13" s="3"/>
      <c r="F13" s="3"/>
      <c r="G13" s="3"/>
      <c r="H13" s="12" t="s">
        <v>0</v>
      </c>
      <c r="I13" s="12" t="s">
        <v>1</v>
      </c>
      <c r="J13" s="12" t="s">
        <v>2</v>
      </c>
      <c r="K13" s="12" t="s">
        <v>3</v>
      </c>
      <c r="L13" s="12" t="s">
        <v>3</v>
      </c>
      <c r="M13" s="12" t="s">
        <v>1</v>
      </c>
      <c r="N13" s="12" t="s">
        <v>1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5:25" ht="37.5" customHeight="1" x14ac:dyDescent="0.25">
      <c r="E14" s="3"/>
      <c r="F14" s="3"/>
      <c r="G14" s="3"/>
      <c r="H14" s="14" t="str">
        <f>IF(WEEKDAY($Q$14)=1,$Q$14,"")</f>
        <v/>
      </c>
      <c r="I14" s="14" t="str">
        <f>IF(WEEKDAY($Q$14)=2,$Q$14,IF(WEEKDAY($Q$14)&lt;2,H14+1,""))</f>
        <v/>
      </c>
      <c r="J14" s="14">
        <f>IF(WEEKDAY($Q$14)=3,$Q$14,IF(WEEKDAY($Q$14)&lt;3,I14+1,""))</f>
        <v>45139</v>
      </c>
      <c r="K14" s="14">
        <f>IF(WEEKDAY($Q$14)=4,$Q$14,IF(WEEKDAY($Q$14)&lt;4,J14+1,""))</f>
        <v>45140</v>
      </c>
      <c r="L14" s="14">
        <f>IF(WEEKDAY($Q$14)=5,$Q$14,IF(WEEKDAY($Q$14)&lt;5,K14+1,""))</f>
        <v>45141</v>
      </c>
      <c r="M14" s="14">
        <f>IF(WEEKDAY($Q$14)=6,$Q$14,IF(WEEKDAY($Q$14)&lt;6,L14+1,""))</f>
        <v>45142</v>
      </c>
      <c r="N14" s="14">
        <f>IF(WEEKDAY($Q$14)=7,$Q$14,IF(WEEKDAY($Q$14)&lt;7,M14+1,""))</f>
        <v>45143</v>
      </c>
      <c r="O14" s="3"/>
      <c r="P14" s="3" t="s">
        <v>56</v>
      </c>
      <c r="Q14" s="4">
        <f>DATE(A19,C19,1)</f>
        <v>45139</v>
      </c>
      <c r="R14" s="3"/>
      <c r="S14" s="3"/>
      <c r="T14" s="3"/>
      <c r="U14" s="3"/>
      <c r="V14" s="3"/>
      <c r="W14" s="3"/>
      <c r="X14" s="3"/>
      <c r="Y14" s="3"/>
    </row>
    <row r="15" spans="5:25" ht="37.5" customHeight="1" x14ac:dyDescent="0.25">
      <c r="E15" s="3"/>
      <c r="F15" s="3"/>
      <c r="G15" s="3"/>
      <c r="H15" s="14">
        <f>IF(N14&lt;&gt;"",IF(N14&lt;$Q$15,N14+1,""),"")</f>
        <v>45144</v>
      </c>
      <c r="I15" s="14">
        <f>IF(H15&lt;&gt;"",IF(H15&lt;$Q$15,H15+1,""),"")</f>
        <v>45145</v>
      </c>
      <c r="J15" s="14">
        <f t="shared" ref="J15:N15" si="0">IF(I15&lt;&gt;"",IF(I15&lt;$Q$15,I15+1,""),"")</f>
        <v>45146</v>
      </c>
      <c r="K15" s="14">
        <f t="shared" si="0"/>
        <v>45147</v>
      </c>
      <c r="L15" s="14">
        <f t="shared" si="0"/>
        <v>45148</v>
      </c>
      <c r="M15" s="14">
        <f>IF(L15&lt;&gt;"",IF(L15&lt;$Q$15,L15+1,""),"")</f>
        <v>45149</v>
      </c>
      <c r="N15" s="14">
        <f t="shared" si="0"/>
        <v>45150</v>
      </c>
      <c r="O15" s="3"/>
      <c r="P15" s="3" t="s">
        <v>57</v>
      </c>
      <c r="Q15" s="4">
        <f>EOMONTH(Q14,0)</f>
        <v>45169</v>
      </c>
      <c r="R15" s="3"/>
      <c r="S15" s="18" t="s">
        <v>58</v>
      </c>
      <c r="T15" s="18" t="s">
        <v>59</v>
      </c>
      <c r="U15" s="3"/>
      <c r="V15" s="3"/>
      <c r="W15" s="3"/>
      <c r="X15" s="3"/>
      <c r="Y15" s="3"/>
    </row>
    <row r="16" spans="5:25" ht="37.5" customHeight="1" x14ac:dyDescent="0.25">
      <c r="E16" s="3"/>
      <c r="F16" s="3"/>
      <c r="G16" s="3"/>
      <c r="H16" s="14">
        <f t="shared" ref="H16:H19" si="1">IF(N15&lt;&gt;"",IF(N15&lt;$Q$15,N15+1,""),"")</f>
        <v>45151</v>
      </c>
      <c r="I16" s="14">
        <f t="shared" ref="I16:N16" si="2">IF(H16&lt;&gt;"",IF(H16&lt;$Q$15,H16+1,""),"")</f>
        <v>45152</v>
      </c>
      <c r="J16" s="14">
        <f t="shared" si="2"/>
        <v>45153</v>
      </c>
      <c r="K16" s="14">
        <f t="shared" si="2"/>
        <v>45154</v>
      </c>
      <c r="L16" s="14">
        <f t="shared" si="2"/>
        <v>45155</v>
      </c>
      <c r="M16" s="14">
        <f t="shared" si="2"/>
        <v>45156</v>
      </c>
      <c r="N16" s="14">
        <f t="shared" si="2"/>
        <v>45157</v>
      </c>
      <c r="O16" s="3"/>
      <c r="P16" s="3"/>
      <c r="Q16" s="3"/>
      <c r="R16" s="3"/>
      <c r="S16" s="16">
        <v>45106</v>
      </c>
      <c r="T16" s="17"/>
      <c r="U16" s="3"/>
      <c r="V16" s="3"/>
      <c r="W16" s="3"/>
      <c r="X16" s="3"/>
      <c r="Y16" s="3"/>
    </row>
    <row r="17" spans="1:25" ht="37.5" customHeight="1" x14ac:dyDescent="0.25">
      <c r="E17" s="3"/>
      <c r="F17" s="3"/>
      <c r="G17" s="3"/>
      <c r="H17" s="14">
        <f t="shared" si="1"/>
        <v>45158</v>
      </c>
      <c r="I17" s="14">
        <f t="shared" ref="I17:N17" si="3">IF(H17&lt;&gt;"",IF(H17&lt;$Q$15,H17+1,""),"")</f>
        <v>45159</v>
      </c>
      <c r="J17" s="14">
        <f t="shared" si="3"/>
        <v>45160</v>
      </c>
      <c r="K17" s="14">
        <f t="shared" si="3"/>
        <v>45161</v>
      </c>
      <c r="L17" s="14">
        <f t="shared" si="3"/>
        <v>45162</v>
      </c>
      <c r="M17" s="14">
        <f t="shared" si="3"/>
        <v>45163</v>
      </c>
      <c r="N17" s="14">
        <f t="shared" si="3"/>
        <v>45164</v>
      </c>
      <c r="O17" s="3"/>
      <c r="P17" s="3"/>
      <c r="Q17" s="18" t="s">
        <v>58</v>
      </c>
      <c r="R17" s="3"/>
      <c r="S17" s="3"/>
      <c r="T17" s="3"/>
      <c r="U17" s="3"/>
      <c r="V17" s="3"/>
      <c r="W17" s="3"/>
      <c r="X17" s="3"/>
      <c r="Y17" s="3"/>
    </row>
    <row r="18" spans="1:25" ht="37.5" customHeight="1" x14ac:dyDescent="0.25">
      <c r="A18" s="13" t="s">
        <v>54</v>
      </c>
      <c r="C18" s="13" t="s">
        <v>55</v>
      </c>
      <c r="E18" s="3"/>
      <c r="F18" s="3"/>
      <c r="G18" s="3"/>
      <c r="H18" s="14">
        <f t="shared" si="1"/>
        <v>45165</v>
      </c>
      <c r="I18" s="14">
        <f t="shared" ref="I18:N18" si="4">IF(H18&lt;&gt;"",IF(H18&lt;$Q$15,H18+1,""),"")</f>
        <v>45166</v>
      </c>
      <c r="J18" s="14">
        <f t="shared" si="4"/>
        <v>45167</v>
      </c>
      <c r="K18" s="14">
        <f t="shared" si="4"/>
        <v>45168</v>
      </c>
      <c r="L18" s="14">
        <f t="shared" si="4"/>
        <v>45169</v>
      </c>
      <c r="M18" s="14" t="str">
        <f t="shared" si="4"/>
        <v/>
      </c>
      <c r="N18" s="14" t="str">
        <f t="shared" si="4"/>
        <v/>
      </c>
      <c r="O18" s="3"/>
      <c r="P18" s="3"/>
      <c r="Q18" s="4">
        <v>45106</v>
      </c>
      <c r="R18" s="3"/>
      <c r="S18" s="3"/>
      <c r="T18" s="3"/>
      <c r="U18" s="3"/>
      <c r="V18" s="3"/>
      <c r="W18" s="3"/>
      <c r="X18" s="3"/>
      <c r="Y18" s="3"/>
    </row>
    <row r="19" spans="1:25" ht="37.5" customHeight="1" x14ac:dyDescent="0.25">
      <c r="A19" s="13">
        <v>2023</v>
      </c>
      <c r="C19" s="13">
        <v>8</v>
      </c>
      <c r="E19" s="3"/>
      <c r="F19" s="3"/>
      <c r="G19" s="3"/>
      <c r="H19" s="14" t="str">
        <f t="shared" si="1"/>
        <v/>
      </c>
      <c r="I19" s="14" t="str">
        <f t="shared" ref="I19:N19" si="5">IF(H19&lt;&gt;"",IF(H19&lt;$Q$15,H19+1,""),"")</f>
        <v/>
      </c>
      <c r="J19" s="14" t="str">
        <f t="shared" si="5"/>
        <v/>
      </c>
      <c r="K19" s="14" t="str">
        <f t="shared" si="5"/>
        <v/>
      </c>
      <c r="L19" s="14" t="str">
        <f t="shared" si="5"/>
        <v/>
      </c>
      <c r="M19" s="14" t="str">
        <f t="shared" si="5"/>
        <v/>
      </c>
      <c r="N19" s="14" t="str">
        <f t="shared" si="5"/>
        <v/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25"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25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25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25"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25"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25"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E28" s="3"/>
      <c r="F28" s="3"/>
      <c r="G28" s="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25"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25"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x14ac:dyDescent="0.25"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5:25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5:25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5:25" x14ac:dyDescent="0.25"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5:25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r:id="rId5">
            <anchor moveWithCells="1">
              <from>
                <xdr:col>11</xdr:col>
                <xdr:colOff>542925</xdr:colOff>
                <xdr:row>19</xdr:row>
                <xdr:rowOff>133350</xdr:rowOff>
              </from>
              <to>
                <xdr:col>13</xdr:col>
                <xdr:colOff>819150</xdr:colOff>
                <xdr:row>22</xdr:row>
                <xdr:rowOff>0</xdr:rowOff>
              </to>
            </anchor>
          </controlPr>
        </control>
      </mc:Choice>
      <mc:Fallback>
        <control shapeId="10243" r:id="rId4" name="CommandButton1"/>
      </mc:Fallback>
    </mc:AlternateContent>
    <mc:AlternateContent xmlns:mc="http://schemas.openxmlformats.org/markup-compatibility/2006">
      <mc:Choice Requires="x14">
        <control shapeId="10241" r:id="rId6" name="Spinner 1">
          <controlPr defaultSize="0" autoPict="0">
            <anchor moveWithCells="1" sizeWithCells="1">
              <from>
                <xdr:col>1</xdr:col>
                <xdr:colOff>19050</xdr:colOff>
                <xdr:row>17</xdr:row>
                <xdr:rowOff>0</xdr:rowOff>
              </from>
              <to>
                <xdr:col>1</xdr:col>
                <xdr:colOff>790575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Spinner 2">
          <controlPr defaultSize="0" autoPict="0">
            <anchor moveWithCells="1" sizeWithCells="1">
              <from>
                <xdr:col>3</xdr:col>
                <xdr:colOff>19050</xdr:colOff>
                <xdr:row>17</xdr:row>
                <xdr:rowOff>0</xdr:rowOff>
              </from>
              <to>
                <xdr:col>3</xdr:col>
                <xdr:colOff>790575</xdr:colOff>
                <xdr:row>19</xdr:row>
                <xdr:rowOff>0</xdr:rowOff>
              </to>
            </anchor>
          </controlPr>
        </control>
      </mc:Choice>
    </mc:AlternateContent>
  </controls>
  <tableParts count="2"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Z36"/>
  <sheetViews>
    <sheetView zoomScale="93" zoomScaleNormal="93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F25" sqref="F25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15" t="s">
        <v>36</v>
      </c>
      <c r="C1" s="15"/>
      <c r="D1" s="15"/>
      <c r="E1" s="15"/>
      <c r="F1" s="15"/>
    </row>
    <row r="2" spans="2:6" x14ac:dyDescent="0.25">
      <c r="B2" t="s">
        <v>4</v>
      </c>
      <c r="C2" t="s">
        <v>28</v>
      </c>
      <c r="D2" t="s">
        <v>29</v>
      </c>
      <c r="E2" t="s">
        <v>30</v>
      </c>
      <c r="F2" t="s">
        <v>31</v>
      </c>
    </row>
    <row r="3" spans="2:6" x14ac:dyDescent="0.25">
      <c r="B3" t="s">
        <v>27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32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33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34</v>
      </c>
      <c r="C6">
        <v>49</v>
      </c>
      <c r="D6" s="8">
        <v>3061</v>
      </c>
      <c r="E6">
        <v>112</v>
      </c>
      <c r="F6">
        <v>1026</v>
      </c>
    </row>
    <row r="7" spans="2:6" x14ac:dyDescent="0.25">
      <c r="B7" t="s">
        <v>35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15" t="s">
        <v>37</v>
      </c>
      <c r="C9" s="15"/>
      <c r="D9" s="15"/>
      <c r="E9" s="15"/>
      <c r="F9" s="15"/>
    </row>
    <row r="10" spans="2:6" x14ac:dyDescent="0.25">
      <c r="B10" t="s">
        <v>38</v>
      </c>
      <c r="C10" t="s">
        <v>48</v>
      </c>
      <c r="D10" t="s">
        <v>49</v>
      </c>
      <c r="E10" t="s">
        <v>50</v>
      </c>
    </row>
    <row r="11" spans="2:6" x14ac:dyDescent="0.25">
      <c r="B11" t="s">
        <v>45</v>
      </c>
      <c r="C11">
        <v>120</v>
      </c>
      <c r="D11">
        <v>100</v>
      </c>
      <c r="E11">
        <v>20</v>
      </c>
      <c r="F11" s="11"/>
    </row>
    <row r="12" spans="2:6" hidden="1" x14ac:dyDescent="0.25">
      <c r="B12" t="s">
        <v>46</v>
      </c>
      <c r="C12">
        <v>30</v>
      </c>
      <c r="D12">
        <v>15</v>
      </c>
      <c r="E12">
        <v>15</v>
      </c>
    </row>
    <row r="13" spans="2:6" x14ac:dyDescent="0.25">
      <c r="B13" t="s">
        <v>47</v>
      </c>
      <c r="C13">
        <v>25</v>
      </c>
      <c r="D13">
        <v>10</v>
      </c>
      <c r="E13">
        <v>15</v>
      </c>
      <c r="F13" s="7"/>
    </row>
  </sheetData>
  <mergeCells count="2">
    <mergeCell ref="B1:F1"/>
    <mergeCell ref="B9:F9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3:F7"/>
  <sheetViews>
    <sheetView workbookViewId="0">
      <selection activeCell="F29" sqref="F29"/>
    </sheetView>
  </sheetViews>
  <sheetFormatPr defaultRowHeight="15" x14ac:dyDescent="0.2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 x14ac:dyDescent="0.25">
      <c r="A3" s="9" t="s">
        <v>39</v>
      </c>
      <c r="B3" t="s">
        <v>51</v>
      </c>
      <c r="D3" s="9" t="s">
        <v>39</v>
      </c>
      <c r="E3" t="s">
        <v>52</v>
      </c>
      <c r="F3" t="s">
        <v>53</v>
      </c>
    </row>
    <row r="4" spans="1:6" x14ac:dyDescent="0.25">
      <c r="A4" s="10" t="s">
        <v>46</v>
      </c>
      <c r="B4">
        <v>30</v>
      </c>
      <c r="D4" s="10" t="s">
        <v>46</v>
      </c>
      <c r="E4">
        <v>15</v>
      </c>
      <c r="F4">
        <v>15</v>
      </c>
    </row>
    <row r="5" spans="1:6" x14ac:dyDescent="0.25">
      <c r="A5" s="10" t="s">
        <v>45</v>
      </c>
      <c r="B5">
        <v>120</v>
      </c>
      <c r="D5" s="10" t="s">
        <v>45</v>
      </c>
      <c r="E5">
        <v>100</v>
      </c>
      <c r="F5">
        <v>20</v>
      </c>
    </row>
    <row r="6" spans="1:6" x14ac:dyDescent="0.25">
      <c r="A6" s="10" t="s">
        <v>47</v>
      </c>
      <c r="B6">
        <v>25</v>
      </c>
      <c r="D6" s="10" t="s">
        <v>47</v>
      </c>
      <c r="E6">
        <v>10</v>
      </c>
      <c r="F6">
        <v>15</v>
      </c>
    </row>
    <row r="7" spans="1:6" x14ac:dyDescent="0.25">
      <c r="A7" s="10" t="s">
        <v>40</v>
      </c>
      <c r="B7">
        <v>175</v>
      </c>
      <c r="D7" s="10" t="s">
        <v>40</v>
      </c>
      <c r="E7">
        <v>125</v>
      </c>
      <c r="F7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8"/>
  <sheetViews>
    <sheetView workbookViewId="0">
      <selection activeCell="D3" sqref="B3:D3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5</v>
      </c>
      <c r="C2" t="s">
        <v>6</v>
      </c>
      <c r="D2" t="s">
        <v>7</v>
      </c>
    </row>
    <row r="3" spans="2:4" x14ac:dyDescent="0.25">
      <c r="B3" s="5">
        <v>45638</v>
      </c>
      <c r="C3" s="6">
        <v>0.5</v>
      </c>
      <c r="D3" t="s">
        <v>60</v>
      </c>
    </row>
    <row r="4" spans="2:4" x14ac:dyDescent="0.25">
      <c r="B4" s="5">
        <v>45101</v>
      </c>
      <c r="C4" s="6">
        <v>0.33333333333333331</v>
      </c>
      <c r="D4" t="s">
        <v>8</v>
      </c>
    </row>
    <row r="5" spans="2:4" x14ac:dyDescent="0.25">
      <c r="B5" s="5">
        <v>45142</v>
      </c>
      <c r="C5" s="6">
        <v>0.8125</v>
      </c>
      <c r="D5" t="s">
        <v>9</v>
      </c>
    </row>
    <row r="6" spans="2:4" x14ac:dyDescent="0.25">
      <c r="B6" s="5">
        <v>45149</v>
      </c>
      <c r="C6" s="6">
        <v>0.8125</v>
      </c>
      <c r="D6" t="s">
        <v>9</v>
      </c>
    </row>
    <row r="7" spans="2:4" x14ac:dyDescent="0.25">
      <c r="B7" s="5">
        <v>45156</v>
      </c>
      <c r="C7" s="6">
        <v>0.8125</v>
      </c>
      <c r="D7" t="s">
        <v>9</v>
      </c>
    </row>
    <row r="8" spans="2:4" x14ac:dyDescent="0.25">
      <c r="B8" s="5">
        <v>45175</v>
      </c>
      <c r="C8" s="6">
        <v>0.33333333333333331</v>
      </c>
      <c r="D8" t="s">
        <v>10</v>
      </c>
    </row>
    <row r="9" spans="2:4" x14ac:dyDescent="0.25">
      <c r="B9" s="5">
        <v>45177</v>
      </c>
      <c r="C9" s="6">
        <v>0.8125</v>
      </c>
      <c r="D9" t="s">
        <v>12</v>
      </c>
    </row>
    <row r="10" spans="2:4" x14ac:dyDescent="0.25">
      <c r="B10" s="5">
        <v>45166</v>
      </c>
      <c r="C10" s="6">
        <v>0.8125</v>
      </c>
      <c r="D10" t="s">
        <v>11</v>
      </c>
    </row>
    <row r="11" spans="2:4" x14ac:dyDescent="0.25">
      <c r="B11" s="5">
        <v>45190</v>
      </c>
      <c r="C11" s="6">
        <v>0.8125</v>
      </c>
      <c r="D11" t="s">
        <v>13</v>
      </c>
    </row>
    <row r="12" spans="2:4" x14ac:dyDescent="0.25">
      <c r="B12" s="5">
        <v>45208</v>
      </c>
      <c r="C12" s="6">
        <v>0.33333333333333331</v>
      </c>
      <c r="D12" t="s">
        <v>14</v>
      </c>
    </row>
    <row r="13" spans="2:4" x14ac:dyDescent="0.25">
      <c r="B13" s="5">
        <v>45214</v>
      </c>
      <c r="C13" s="6">
        <v>0.8125</v>
      </c>
      <c r="D13" t="s">
        <v>15</v>
      </c>
    </row>
    <row r="14" spans="2:4" x14ac:dyDescent="0.25">
      <c r="B14" s="5">
        <v>45222</v>
      </c>
      <c r="C14" s="6">
        <v>0.8125</v>
      </c>
      <c r="D14" t="s">
        <v>16</v>
      </c>
    </row>
    <row r="15" spans="2:4" x14ac:dyDescent="0.25">
      <c r="B15" s="5">
        <v>45218</v>
      </c>
      <c r="C15" s="6">
        <v>0.8125</v>
      </c>
      <c r="D15" t="s">
        <v>17</v>
      </c>
    </row>
    <row r="16" spans="2:4" x14ac:dyDescent="0.25">
      <c r="B16" s="5">
        <v>45261</v>
      </c>
      <c r="C16" s="6">
        <v>0.33333333333333331</v>
      </c>
      <c r="D16" t="s">
        <v>18</v>
      </c>
    </row>
    <row r="17" spans="2:4" x14ac:dyDescent="0.25">
      <c r="B17" s="5">
        <v>45262</v>
      </c>
      <c r="C17" s="6">
        <v>0.8125</v>
      </c>
      <c r="D17" t="s">
        <v>18</v>
      </c>
    </row>
    <row r="18" spans="2:4" x14ac:dyDescent="0.25">
      <c r="B18" s="5">
        <v>45263</v>
      </c>
      <c r="C18" s="6">
        <v>0.8125</v>
      </c>
      <c r="D18" t="s">
        <v>18</v>
      </c>
    </row>
    <row r="19" spans="2:4" x14ac:dyDescent="0.25">
      <c r="B19" s="5">
        <v>45281</v>
      </c>
      <c r="C19" s="6">
        <v>0.8125</v>
      </c>
      <c r="D19" t="s">
        <v>19</v>
      </c>
    </row>
    <row r="20" spans="2:4" x14ac:dyDescent="0.25">
      <c r="B20" s="5">
        <v>45121</v>
      </c>
      <c r="C20" s="6">
        <v>0.33333333333333331</v>
      </c>
      <c r="D20" t="s">
        <v>20</v>
      </c>
    </row>
    <row r="21" spans="2:4" x14ac:dyDescent="0.25">
      <c r="B21" s="5">
        <v>45117</v>
      </c>
      <c r="C21" s="6">
        <v>0.8125</v>
      </c>
      <c r="D21" t="s">
        <v>21</v>
      </c>
    </row>
    <row r="22" spans="2:4" x14ac:dyDescent="0.25">
      <c r="B22" s="5">
        <v>45360</v>
      </c>
      <c r="C22" s="6">
        <v>0.8125</v>
      </c>
      <c r="D22" t="s">
        <v>22</v>
      </c>
    </row>
    <row r="23" spans="2:4" x14ac:dyDescent="0.25">
      <c r="B23" s="5">
        <v>45383</v>
      </c>
      <c r="C23" s="6">
        <v>0.8125</v>
      </c>
      <c r="D23" t="s">
        <v>23</v>
      </c>
    </row>
    <row r="24" spans="2:4" x14ac:dyDescent="0.25">
      <c r="B24" s="5">
        <v>45483</v>
      </c>
      <c r="C24" s="6">
        <v>0.8125</v>
      </c>
      <c r="D24" t="s">
        <v>24</v>
      </c>
    </row>
    <row r="25" spans="2:4" x14ac:dyDescent="0.25">
      <c r="B25" s="5">
        <v>45121</v>
      </c>
      <c r="C25" s="6">
        <v>0.33333333333333331</v>
      </c>
      <c r="D25" t="s">
        <v>25</v>
      </c>
    </row>
    <row r="26" spans="2:4" x14ac:dyDescent="0.25">
      <c r="B26" s="5">
        <v>45500</v>
      </c>
      <c r="C26" s="6">
        <v>0.79166666666666663</v>
      </c>
      <c r="D26" t="s">
        <v>26</v>
      </c>
    </row>
    <row r="27" spans="2:4" x14ac:dyDescent="0.25">
      <c r="B27" s="5"/>
      <c r="C27" s="6"/>
    </row>
    <row r="28" spans="2:4" x14ac:dyDescent="0.25">
      <c r="B28" s="5"/>
      <c r="C28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9" t="s">
        <v>39</v>
      </c>
      <c r="B3" t="s">
        <v>41</v>
      </c>
      <c r="D3" s="9" t="s">
        <v>39</v>
      </c>
      <c r="E3" t="s">
        <v>42</v>
      </c>
      <c r="G3" s="9" t="s">
        <v>39</v>
      </c>
      <c r="H3" t="s">
        <v>43</v>
      </c>
      <c r="J3" s="9" t="s">
        <v>39</v>
      </c>
      <c r="K3" t="s">
        <v>44</v>
      </c>
    </row>
    <row r="4" spans="1:11" x14ac:dyDescent="0.25">
      <c r="A4" s="10" t="s">
        <v>27</v>
      </c>
      <c r="B4">
        <v>47</v>
      </c>
      <c r="D4" s="10" t="s">
        <v>27</v>
      </c>
      <c r="E4">
        <v>3069</v>
      </c>
      <c r="G4" s="10" t="s">
        <v>27</v>
      </c>
      <c r="H4">
        <v>143</v>
      </c>
      <c r="J4" s="10" t="s">
        <v>27</v>
      </c>
      <c r="K4">
        <v>1014</v>
      </c>
    </row>
    <row r="5" spans="1:11" x14ac:dyDescent="0.25">
      <c r="A5" s="10" t="s">
        <v>32</v>
      </c>
      <c r="B5">
        <v>51</v>
      </c>
      <c r="D5" s="10" t="s">
        <v>32</v>
      </c>
      <c r="E5">
        <v>3041</v>
      </c>
      <c r="G5" s="10" t="s">
        <v>32</v>
      </c>
      <c r="H5">
        <v>129</v>
      </c>
      <c r="J5" s="10" t="s">
        <v>32</v>
      </c>
      <c r="K5">
        <v>1021</v>
      </c>
    </row>
    <row r="6" spans="1:11" x14ac:dyDescent="0.25">
      <c r="A6" s="10" t="s">
        <v>33</v>
      </c>
      <c r="B6">
        <v>36</v>
      </c>
      <c r="D6" s="10" t="s">
        <v>33</v>
      </c>
      <c r="E6">
        <v>3080</v>
      </c>
      <c r="G6" s="10" t="s">
        <v>33</v>
      </c>
      <c r="H6">
        <v>120</v>
      </c>
      <c r="J6" s="10" t="s">
        <v>33</v>
      </c>
      <c r="K6">
        <v>1054</v>
      </c>
    </row>
    <row r="7" spans="1:11" x14ac:dyDescent="0.25">
      <c r="A7" s="10" t="s">
        <v>34</v>
      </c>
      <c r="B7">
        <v>49</v>
      </c>
      <c r="D7" s="10" t="s">
        <v>34</v>
      </c>
      <c r="E7">
        <v>3061</v>
      </c>
      <c r="G7" s="10" t="s">
        <v>34</v>
      </c>
      <c r="H7">
        <v>112</v>
      </c>
      <c r="J7" s="10" t="s">
        <v>34</v>
      </c>
      <c r="K7">
        <v>1026</v>
      </c>
    </row>
    <row r="8" spans="1:11" x14ac:dyDescent="0.25">
      <c r="A8" s="10" t="s">
        <v>35</v>
      </c>
      <c r="B8">
        <v>52</v>
      </c>
      <c r="D8" s="10" t="s">
        <v>35</v>
      </c>
      <c r="E8">
        <v>3192</v>
      </c>
      <c r="G8" s="10" t="s">
        <v>35</v>
      </c>
      <c r="H8">
        <v>145</v>
      </c>
      <c r="J8" s="10" t="s">
        <v>35</v>
      </c>
      <c r="K8">
        <v>1008</v>
      </c>
    </row>
    <row r="9" spans="1:11" x14ac:dyDescent="0.25">
      <c r="A9" s="10" t="s">
        <v>40</v>
      </c>
      <c r="B9">
        <v>235</v>
      </c>
      <c r="D9" s="10" t="s">
        <v>40</v>
      </c>
      <c r="E9">
        <v>15443</v>
      </c>
      <c r="G9" s="10" t="s">
        <v>40</v>
      </c>
      <c r="H9">
        <v>649</v>
      </c>
      <c r="J9" s="10" t="s">
        <v>40</v>
      </c>
      <c r="K9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0D9C5B-A5EB-4090-A04A-DCBE7848E5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calendário</vt:lpstr>
      <vt:lpstr>social</vt:lpstr>
      <vt:lpstr>PLANILHA GERAL</vt:lpstr>
      <vt:lpstr>TABELA-PROJETOS</vt:lpstr>
      <vt:lpstr>TABELA-CALENDÁRIO</vt:lpstr>
      <vt:lpstr>TABELA-SOCIAL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2024-06-26T18:08:33Z</dcterms:modified>
</cp:coreProperties>
</file>